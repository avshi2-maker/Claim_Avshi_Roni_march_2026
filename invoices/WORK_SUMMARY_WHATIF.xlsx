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עבודה" sheetId="1" state="visible" r:id="rId1"/>
    <sheet xmlns:r="http://schemas.openxmlformats.org/officeDocument/2006/relationships" name="What If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sz val="12"/>
    </font>
    <font>
      <b val="1"/>
      <color rgb="00FFFFFF"/>
      <sz val="14"/>
    </font>
    <font>
      <b val="1"/>
    </font>
    <font>
      <sz val="11"/>
    </font>
    <font>
      <b val="1"/>
      <color rgb="00FFFFFF"/>
      <sz val="16"/>
    </font>
    <font>
      <b val="1"/>
      <color rgb="00D32F2F"/>
      <sz val="14"/>
    </font>
    <font>
      <b val="1"/>
      <color rgb="00D32F2F"/>
    </font>
    <font>
      <sz val="12"/>
    </font>
    <font>
      <i val="1"/>
      <sz val="11"/>
    </font>
  </fonts>
  <fills count="17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764ba2"/>
        <bgColor rgb="00764ba2"/>
      </patternFill>
    </fill>
    <fill>
      <patternFill patternType="solid">
        <fgColor rgb="00E8EAF6"/>
        <bgColor rgb="00E8EAF6"/>
      </patternFill>
    </fill>
    <fill>
      <patternFill patternType="solid">
        <fgColor rgb="00F57C00"/>
        <bgColor rgb="00F57C00"/>
      </patternFill>
    </fill>
    <fill>
      <patternFill patternType="solid">
        <fgColor rgb="00FFE0B2"/>
        <bgColor rgb="00FFE0B2"/>
      </patternFill>
    </fill>
    <fill>
      <patternFill patternType="solid">
        <fgColor rgb="004CAF50"/>
        <bgColor rgb="004CAF50"/>
      </patternFill>
    </fill>
    <fill>
      <patternFill patternType="solid">
        <fgColor rgb="00D32F2F"/>
        <bgColor rgb="00D32F2F"/>
      </patternFill>
    </fill>
    <fill>
      <patternFill patternType="solid">
        <fgColor rgb="001976D2"/>
        <bgColor rgb="001976D2"/>
      </patternFill>
    </fill>
    <fill>
      <patternFill patternType="solid">
        <fgColor rgb="00C8E6C9"/>
        <bgColor rgb="00C8E6C9"/>
      </patternFill>
    </fill>
    <fill>
      <patternFill patternType="solid">
        <fgColor rgb="00FFF3E0"/>
        <bgColor rgb="00FFF3E0"/>
      </patternFill>
    </fill>
    <fill>
      <patternFill patternType="solid">
        <fgColor rgb="009C27B0"/>
        <bgColor rgb="009C27B0"/>
      </patternFill>
    </fill>
    <fill>
      <patternFill patternType="solid">
        <fgColor rgb="00E1BEE7"/>
        <bgColor rgb="00E1BEE7"/>
      </patternFill>
    </fill>
    <fill>
      <patternFill patternType="solid">
        <fgColor rgb="00FFEBEE"/>
        <bgColor rgb="00FFEBEE"/>
      </patternFill>
    </fill>
    <fill>
      <patternFill patternType="solid">
        <fgColor rgb="002196F3"/>
        <bgColor rgb="002196F3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5" borderId="0" pivotButton="0" quotePrefix="0" xfId="0"/>
    <xf numFmtId="0" fontId="5" fillId="6" borderId="0" pivotButton="0" quotePrefix="0" xfId="0"/>
    <xf numFmtId="0" fontId="5" fillId="0" borderId="0" pivotButton="0" quotePrefix="0" xfId="0"/>
    <xf numFmtId="0" fontId="4" fillId="7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 wrapText="1"/>
    </xf>
    <xf numFmtId="0" fontId="5" fillId="10" borderId="0" pivotButton="0" quotePrefix="0" xfId="0"/>
    <xf numFmtId="0" fontId="5" fillId="11" borderId="0" pivotButton="0" quotePrefix="0" xfId="0"/>
    <xf numFmtId="0" fontId="4" fillId="12" borderId="0" pivotButton="0" quotePrefix="0" xfId="0"/>
    <xf numFmtId="0" fontId="5" fillId="13" borderId="0" pivotButton="0" quotePrefix="0" xfId="0"/>
    <xf numFmtId="0" fontId="3" fillId="1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7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right" wrapText="1"/>
    </xf>
    <xf numFmtId="0" fontId="4" fillId="15" borderId="0" pivotButton="0" quotePrefix="0" xfId="0"/>
    <xf numFmtId="0" fontId="11" fillId="16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20" customWidth="1" min="4" max="4"/>
    <col width="20" customWidth="1" min="5" max="5"/>
    <col width="15" customWidth="1" min="6" max="6"/>
  </cols>
  <sheetData>
    <row r="1" ht="30" customHeight="1">
      <c r="A1" s="1" t="inlineStr">
        <is>
          <t>סיכום עבודה מקצועי - דוח שעות ותמחור</t>
        </is>
      </c>
    </row>
    <row r="3">
      <c r="A3" s="2" t="inlineStr">
        <is>
          <t>פרויקט</t>
        </is>
      </c>
      <c r="B3" s="2" t="inlineStr">
        <is>
          <t>שעות עבודה</t>
        </is>
      </c>
      <c r="C3" s="2" t="inlineStr">
        <is>
          <t>תיאור</t>
        </is>
      </c>
      <c r="D3" s="2" t="inlineStr">
        <is>
          <t>מחיר שוק (₪120/שעה)</t>
        </is>
      </c>
      <c r="E3" s="2" t="inlineStr">
        <is>
          <t>מחיר מוזל (₪40/שעה)</t>
        </is>
      </c>
      <c r="F3" s="2" t="inlineStr">
        <is>
          <t>חיסכון</t>
        </is>
      </c>
    </row>
    <row r="4">
      <c r="A4" t="inlineStr">
        <is>
          <t>מערכת TCM</t>
        </is>
      </c>
      <c r="B4" t="n">
        <v>400</v>
      </c>
      <c r="C4" t="inlineStr">
        <is>
          <t>1000 שאלות, AI, Supabase, Hebrew voice</t>
        </is>
      </c>
      <c r="D4">
        <f>B4*120</f>
        <v/>
      </c>
      <c r="E4">
        <f>B4*40</f>
        <v/>
      </c>
      <c r="F4">
        <f>D4-E4</f>
        <v/>
      </c>
    </row>
    <row r="5">
      <c r="A5" t="inlineStr">
        <is>
          <t>אתר רטריט</t>
        </is>
      </c>
      <c r="B5" t="n">
        <v>100</v>
      </c>
      <c r="C5" t="inlineStr">
        <is>
          <t>Responsive design, Welikande Estate</t>
        </is>
      </c>
      <c r="D5">
        <f>B5*120</f>
        <v/>
      </c>
      <c r="E5">
        <f>B5*40</f>
        <v/>
      </c>
      <c r="F5">
        <f>D5-E5</f>
        <v/>
      </c>
    </row>
    <row r="6">
      <c r="A6" t="inlineStr">
        <is>
          <t>דף פייסבוק</t>
        </is>
      </c>
      <c r="B6" t="n">
        <v>100</v>
      </c>
      <c r="C6" t="inlineStr">
        <is>
          <t>84 פריטי תוכן - stories, videos, podcasts</t>
        </is>
      </c>
      <c r="D6">
        <f>B6*120</f>
        <v/>
      </c>
      <c r="E6">
        <f>B6*40</f>
        <v/>
      </c>
      <c r="F6">
        <f>D6-E6</f>
        <v/>
      </c>
    </row>
    <row r="7">
      <c r="A7" s="3" t="inlineStr">
        <is>
          <t>סה"כ</t>
        </is>
      </c>
      <c r="B7" s="3">
        <f>SUM(B4:B6)</f>
        <v/>
      </c>
      <c r="D7" s="3">
        <f>SUM(D4:D6)</f>
        <v/>
      </c>
      <c r="E7" s="3">
        <f>SUM(E4:E6)</f>
        <v/>
      </c>
      <c r="F7" s="3">
        <f>SUM(F4:F6)</f>
        <v/>
      </c>
    </row>
    <row r="9">
      <c r="A9" s="4" t="inlineStr">
        <is>
          <t>הסבר על ההנחה</t>
        </is>
      </c>
    </row>
    <row r="10">
      <c r="A10" s="5" t="inlineStr">
        <is>
          <t>מרכיב</t>
        </is>
      </c>
      <c r="B10" s="5" t="inlineStr">
        <is>
          <t>פירוט</t>
        </is>
      </c>
    </row>
    <row r="11">
      <c r="A11" s="6" t="inlineStr">
        <is>
          <t>מחיר שוק</t>
        </is>
      </c>
      <c r="B11" t="inlineStr">
        <is>
          <t>מפתח מנוסה: ₪120-150/שעה</t>
        </is>
      </c>
      <c r="C11" t="inlineStr">
        <is>
          <t>-</t>
        </is>
      </c>
    </row>
    <row r="12">
      <c r="A12" s="6" t="inlineStr">
        <is>
          <t>מחיר אבשי</t>
        </is>
      </c>
      <c r="B12" t="inlineStr">
        <is>
          <t>בן 72, מתחיל, ללא ניסיון מקצועי: ₪40/שעה</t>
        </is>
      </c>
      <c r="C12" t="inlineStr">
        <is>
          <t>67% הנחה</t>
        </is>
      </c>
    </row>
    <row r="13">
      <c r="A13" s="6" t="inlineStr">
        <is>
          <t>נסיון</t>
        </is>
      </c>
      <c r="B13" t="inlineStr">
        <is>
          <t>אין רקע בפיתוח, לומד תוך כדי תנועה</t>
        </is>
      </c>
      <c r="C13" t="inlineStr">
        <is>
          <t>איטי יותר</t>
        </is>
      </c>
    </row>
    <row r="14">
      <c r="A14" s="6" t="inlineStr">
        <is>
          <t>באגים</t>
        </is>
      </c>
      <c r="B14" t="inlineStr">
        <is>
          <t>קוד לא מושלם, צריך תיקונים</t>
        </is>
      </c>
      <c r="C14" t="inlineStr">
        <is>
          <t>זמן נוסף</t>
        </is>
      </c>
    </row>
    <row r="15">
      <c r="A15" s="6" t="inlineStr">
        <is>
          <t>כלים</t>
        </is>
      </c>
      <c r="B15" t="inlineStr">
        <is>
          <t>משתמש בכלים מוכנים (AI, Lovable, Claude)</t>
        </is>
      </c>
      <c r="C15" t="inlineStr">
        <is>
          <t>מפחית ערך</t>
        </is>
      </c>
    </row>
    <row r="16">
      <c r="A16" s="6" t="inlineStr">
        <is>
          <t>גיל</t>
        </is>
      </c>
      <c r="B16" t="inlineStr">
        <is>
          <t>בן 72 - לא נשכר בשוק הרגיל</t>
        </is>
      </c>
      <c r="C16" t="inlineStr">
        <is>
          <t>הנחה משמעותית</t>
        </is>
      </c>
    </row>
    <row r="18">
      <c r="A18" s="7" t="inlineStr">
        <is>
          <t>מסקנה</t>
        </is>
      </c>
    </row>
    <row r="19">
      <c r="A19" s="8" t="inlineStr">
        <is>
          <t>רוני קיבל:</t>
        </is>
      </c>
    </row>
    <row r="20">
      <c r="A20" s="9" t="inlineStr">
        <is>
          <t>✅ 600 שעות עבודה</t>
        </is>
      </c>
    </row>
    <row r="21">
      <c r="A21" s="9" t="inlineStr">
        <is>
          <t>✅ 3 פרויקטים מלאים</t>
        </is>
      </c>
    </row>
    <row r="22">
      <c r="A22" s="9" t="inlineStr">
        <is>
          <t>✅ ערך שוק: ₪72,000</t>
        </is>
      </c>
    </row>
    <row r="23">
      <c r="A23" s="9" t="inlineStr">
        <is>
          <t>✅ שילם: ₪24,000 (או אמור לשלם)</t>
        </is>
      </c>
    </row>
    <row r="24">
      <c r="A24" s="9" t="inlineStr">
        <is>
          <t>✅ חיסכון: ₪48,000 (67%!)</t>
        </is>
      </c>
    </row>
  </sheetData>
  <mergeCells count="10">
    <mergeCell ref="A24:F24"/>
    <mergeCell ref="A19:F19"/>
    <mergeCell ref="A1:F1"/>
    <mergeCell ref="A23:F23"/>
    <mergeCell ref="B10:C10"/>
    <mergeCell ref="A9:F9"/>
    <mergeCell ref="A22:F22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8" customWidth="1" min="4" max="4"/>
    <col width="20" customWidth="1" min="5" max="5"/>
    <col width="18" customWidth="1" min="6" max="6"/>
    <col width="18" customWidth="1" min="7" max="7"/>
    <col width="35" customWidth="1" min="8" max="8"/>
  </cols>
  <sheetData>
    <row r="1" ht="35" customHeight="1">
      <c r="A1" s="10" t="inlineStr">
        <is>
          <t>🎯 What If Analysis - מה היה קורה אם רוני לא שכר את אבשי?</t>
        </is>
      </c>
    </row>
    <row r="3">
      <c r="A3" s="8" t="inlineStr">
        <is>
          <t>היקף הפרויקט:</t>
        </is>
      </c>
      <c r="B3" t="inlineStr">
        <is>
          <t>3 פרויקטים מלאים (TCM + Retreat + Facebook)</t>
        </is>
      </c>
    </row>
    <row r="5">
      <c r="A5" s="11" t="inlineStr">
        <is>
          <t>תרחיש</t>
        </is>
      </c>
      <c r="B5" s="11" t="inlineStr">
        <is>
          <t>סוג מפתח</t>
        </is>
      </c>
      <c r="C5" s="11" t="inlineStr">
        <is>
          <t>שעות נדרשות</t>
        </is>
      </c>
      <c r="D5" s="11" t="inlineStr">
        <is>
          <t>תעריף/שעה (₪)</t>
        </is>
      </c>
      <c r="E5" s="11" t="inlineStr">
        <is>
          <t>עלות כוללת (₪)</t>
        </is>
      </c>
      <c r="F5" s="11" t="inlineStr">
        <is>
          <t>איכות</t>
        </is>
      </c>
      <c r="G5" s="11" t="inlineStr">
        <is>
          <t>זמן להשלמה</t>
        </is>
      </c>
      <c r="H5" s="11" t="inlineStr">
        <is>
          <t>הערות</t>
        </is>
      </c>
    </row>
    <row r="6">
      <c r="A6" t="inlineStr">
        <is>
          <t>תרחיש 1</t>
        </is>
      </c>
      <c r="B6" t="inlineStr">
        <is>
          <t>מפתח בכיר חיצוני</t>
        </is>
      </c>
      <c r="C6" t="n">
        <v>400</v>
      </c>
      <c r="D6" t="n">
        <v>150</v>
      </c>
      <c r="E6">
        <f>C6*D6</f>
        <v/>
      </c>
      <c r="F6" t="inlineStr">
        <is>
          <t>מעולה (95%)</t>
        </is>
      </c>
      <c r="G6" t="inlineStr">
        <is>
          <t>3-4 חודשים</t>
        </is>
      </c>
      <c r="H6" t="inlineStr">
        <is>
          <t>מקצוען, מהיר, אמין - אבל יקר מאוד</t>
        </is>
      </c>
    </row>
    <row r="7">
      <c r="A7" t="inlineStr">
        <is>
          <t>תרחיש 2</t>
        </is>
      </c>
      <c r="B7" t="inlineStr">
        <is>
          <t>מפתח בינוני</t>
        </is>
      </c>
      <c r="C7" t="n">
        <v>500</v>
      </c>
      <c r="D7" t="n">
        <v>120</v>
      </c>
      <c r="E7">
        <f>C7*D7</f>
        <v/>
      </c>
      <c r="F7" t="inlineStr">
        <is>
          <t>טוב (85%)</t>
        </is>
      </c>
      <c r="G7" t="inlineStr">
        <is>
          <t>4-5 חודשים</t>
        </is>
      </c>
      <c r="H7" t="inlineStr">
        <is>
          <t>טוב אבל לא מושלם, עלול להיות באגים</t>
        </is>
      </c>
    </row>
    <row r="8">
      <c r="A8" t="inlineStr">
        <is>
          <t>תרחיש 3</t>
        </is>
      </c>
      <c r="B8" t="inlineStr">
        <is>
          <t>מפתח זוטר (Junior)</t>
        </is>
      </c>
      <c r="C8" t="n">
        <v>700</v>
      </c>
      <c r="D8" t="n">
        <v>80</v>
      </c>
      <c r="E8">
        <f>C8*D8</f>
        <v/>
      </c>
      <c r="F8" t="inlineStr">
        <is>
          <t>בינוני (70%)</t>
        </is>
      </c>
      <c r="G8" t="inlineStr">
        <is>
          <t>6-8 חודשים</t>
        </is>
      </c>
      <c r="H8" t="inlineStr">
        <is>
          <t>איטי, צריך הדרכה, הרבה באגים</t>
        </is>
      </c>
    </row>
    <row r="9">
      <c r="A9" t="inlineStr">
        <is>
          <t>תרחיש 4</t>
        </is>
      </c>
      <c r="B9" t="inlineStr">
        <is>
          <t>פרילנסר (Fiverr/Upwork)</t>
        </is>
      </c>
      <c r="C9" t="n">
        <v>600</v>
      </c>
      <c r="D9" t="n">
        <v>100</v>
      </c>
      <c r="E9">
        <f>C9*D9</f>
        <v/>
      </c>
      <c r="F9" t="inlineStr">
        <is>
          <t>משתנה (60-80%)</t>
        </is>
      </c>
      <c r="G9" t="inlineStr">
        <is>
          <t>5-7 חודשים</t>
        </is>
      </c>
      <c r="H9" t="inlineStr">
        <is>
          <t>איכות לא עקבית, בעיות תקשורת</t>
        </is>
      </c>
    </row>
    <row r="10">
      <c r="A10" t="inlineStr">
        <is>
          <t>תרחיש 5</t>
        </is>
      </c>
      <c r="B10" t="inlineStr">
        <is>
          <t>חברת פיתוח (Agency)</t>
        </is>
      </c>
      <c r="C10" t="n">
        <v>450</v>
      </c>
      <c r="D10" t="n">
        <v>180</v>
      </c>
      <c r="E10">
        <f>C10*D10</f>
        <v/>
      </c>
      <c r="F10" t="inlineStr">
        <is>
          <t>מעולה (90%)</t>
        </is>
      </c>
      <c r="G10" t="inlineStr">
        <is>
          <t>3-4 חודשים</t>
        </is>
      </c>
      <c r="H10" t="inlineStr">
        <is>
          <t>מקצועי מאוד אבל העלות הכי גבוהה</t>
        </is>
      </c>
    </row>
    <row r="11">
      <c r="A11" t="inlineStr">
        <is>
          <t>תרחיש 6</t>
        </is>
      </c>
      <c r="B11" t="inlineStr">
        <is>
          <t>אבשי במחיר שוק מלא</t>
        </is>
      </c>
      <c r="C11" t="n">
        <v>600</v>
      </c>
      <c r="D11" t="n">
        <v>120</v>
      </c>
      <c r="E11">
        <f>C11*D11</f>
        <v/>
      </c>
      <c r="F11" t="inlineStr">
        <is>
          <t>טוב (75%)</t>
        </is>
      </c>
      <c r="G11" t="inlineStr">
        <is>
          <t>6 חודשים</t>
        </is>
      </c>
      <c r="H11" t="inlineStr">
        <is>
          <t>אם אבשי גבה כמו מפתח רגיל</t>
        </is>
      </c>
    </row>
    <row r="12">
      <c r="A12" s="12" t="inlineStr">
        <is>
          <t>תרחיש 7 ✅</t>
        </is>
      </c>
      <c r="B12" s="12" t="inlineStr">
        <is>
          <t>**אבשי - מה שקרה בפועל**</t>
        </is>
      </c>
      <c r="C12" s="12" t="n">
        <v>600</v>
      </c>
      <c r="D12" s="12" t="n">
        <v>40</v>
      </c>
      <c r="E12" s="12">
        <f>C12*D12</f>
        <v/>
      </c>
      <c r="F12" s="12" t="inlineStr">
        <is>
          <t>טוב (75%)</t>
        </is>
      </c>
      <c r="G12" s="12" t="inlineStr">
        <is>
          <t>6 חודשים</t>
        </is>
      </c>
      <c r="H12" s="12" t="inlineStr">
        <is>
          <t>67% הנחה! רוני קיבל עסקה מדהימה!</t>
        </is>
      </c>
    </row>
    <row r="14">
      <c r="A14" s="4" t="inlineStr">
        <is>
          <t>השוואה למציאות - כמה רוני חסך?</t>
        </is>
      </c>
    </row>
    <row r="15">
      <c r="A15" s="13" t="inlineStr">
        <is>
          <t>לעומת</t>
        </is>
      </c>
      <c r="B15" s="13" t="inlineStr">
        <is>
          <t>עלות אלטרנטיבית</t>
        </is>
      </c>
      <c r="C15" s="13" t="inlineStr">
        <is>
          <t>עלות אבשי</t>
        </is>
      </c>
      <c r="D15" s="13" t="inlineStr">
        <is>
          <t>חיסכון</t>
        </is>
      </c>
      <c r="E15" s="13" t="inlineStr">
        <is>
          <t>אחוז חיסכון</t>
        </is>
      </c>
    </row>
    <row r="16">
      <c r="A16" t="inlineStr">
        <is>
          <t>מפתח בכיר</t>
        </is>
      </c>
      <c r="B16">
        <f>E6</f>
        <v/>
      </c>
      <c r="C16">
        <f>E12</f>
        <v/>
      </c>
      <c r="D16">
        <f>B16-C16</f>
        <v/>
      </c>
      <c r="E16">
        <f>(D16/B16)*100</f>
        <v/>
      </c>
    </row>
    <row r="17">
      <c r="A17" t="inlineStr">
        <is>
          <t>מפתח בינוני</t>
        </is>
      </c>
      <c r="B17">
        <f>E7</f>
        <v/>
      </c>
      <c r="C17">
        <f>E12</f>
        <v/>
      </c>
      <c r="D17">
        <f>B17-C17</f>
        <v/>
      </c>
      <c r="E17">
        <f>(D17/B17)*100</f>
        <v/>
      </c>
    </row>
    <row r="18">
      <c r="A18" t="inlineStr">
        <is>
          <t>חברת פיתוח</t>
        </is>
      </c>
      <c r="B18">
        <f>E10</f>
        <v/>
      </c>
      <c r="C18">
        <f>E12</f>
        <v/>
      </c>
      <c r="D18">
        <f>B18-C18</f>
        <v/>
      </c>
      <c r="E18">
        <f>(D18/B18)*100</f>
        <v/>
      </c>
    </row>
    <row r="20">
      <c r="A20" s="14" t="inlineStr">
        <is>
          <t>⏰ ניתוח זמינות: למה לרוני לא היה כדאי לעשות בעצמו?</t>
        </is>
      </c>
    </row>
    <row r="21">
      <c r="A21" s="15" t="inlineStr">
        <is>
          <t>פקטור</t>
        </is>
      </c>
      <c r="B21" s="15" t="inlineStr">
        <is>
          <t>אבשי (זמינות)</t>
        </is>
      </c>
      <c r="C21" s="15" t="inlineStr">
        <is>
          <t>ד"ר רוני (זמינות משוערת)</t>
        </is>
      </c>
      <c r="D21" s="15" t="inlineStr">
        <is>
          <t>הסבר</t>
        </is>
      </c>
      <c r="E21" s="15" t="inlineStr">
        <is>
          <t>הערות</t>
        </is>
      </c>
    </row>
    <row r="22">
      <c r="A22" t="inlineStr">
        <is>
          <t>זמינות לפיתוח</t>
        </is>
      </c>
      <c r="B22" t="inlineStr">
        <is>
          <t>100%</t>
        </is>
      </c>
      <c r="C22" t="inlineStr">
        <is>
          <t>50%</t>
        </is>
      </c>
      <c r="D22" t="inlineStr">
        <is>
          <t>זמינות</t>
        </is>
      </c>
      <c r="E22" s="21" t="inlineStr">
        <is>
          <t>אבשי: פיתוח הוא העבודה היחידה. רוני: קליניקה + עסקים מגוונים</t>
        </is>
      </c>
    </row>
    <row r="23">
      <c r="A23" t="inlineStr">
        <is>
          <t>שעות זמינות</t>
        </is>
      </c>
      <c r="B23" t="inlineStr">
        <is>
          <t>600</t>
        </is>
      </c>
      <c r="C23" t="inlineStr">
        <is>
          <t>1,200</t>
        </is>
      </c>
      <c r="D23" t="inlineStr">
        <is>
          <t>זמן נדרש</t>
        </is>
      </c>
      <c r="E23" s="21" t="inlineStr">
        <is>
          <t>רוני צריך פי 2 זמן בשל עסוקותו בעסקים אחרים</t>
        </is>
      </c>
    </row>
    <row r="24">
      <c r="A24" t="inlineStr">
        <is>
          <t>עסקים מקבילים</t>
        </is>
      </c>
      <c r="B24" t="inlineStr">
        <is>
          <t>אין</t>
        </is>
      </c>
      <c r="C24" t="inlineStr">
        <is>
          <t>רבים</t>
        </is>
      </c>
      <c r="D24" t="inlineStr">
        <is>
          <t>גיוון</t>
        </is>
      </c>
      <c r="E24" s="21" t="inlineStr">
        <is>
          <t>רוני: קליניקה + קפסולות אוקסיגן + פיתוחים טכנולוגיים</t>
        </is>
      </c>
    </row>
    <row r="25">
      <c r="A25" t="inlineStr">
        <is>
          <t>ערך זמן (₪/שעה)</t>
        </is>
      </c>
      <c r="B25" t="inlineStr">
        <is>
          <t>₪40</t>
        </is>
      </c>
      <c r="C25" t="inlineStr">
        <is>
          <t>₪500</t>
        </is>
      </c>
      <c r="D25" t="inlineStr">
        <is>
          <t>הזדמנות</t>
        </is>
      </c>
      <c r="E25" s="21" t="inlineStr">
        <is>
          <t>רוני כרופא מצליח + בעל עסקים</t>
        </is>
      </c>
    </row>
    <row r="27">
      <c r="A27" s="16" t="inlineStr">
        <is>
          <t>תרחיש: אם רוני היה מקדיש 100% מזמנו לפיתוח</t>
        </is>
      </c>
    </row>
    <row r="28">
      <c r="A28" t="inlineStr">
        <is>
          <t>שעות שרוני היה צריך:</t>
        </is>
      </c>
      <c r="B28" t="n">
        <v>1200</v>
      </c>
      <c r="C28" t="inlineStr">
        <is>
          <t>(פי 2 מאבשי - בשל זמינות מוגבלת)</t>
        </is>
      </c>
    </row>
    <row r="29">
      <c r="A29" t="inlineStr">
        <is>
          <t>ערך הזמן של רוני (רופא מצליח + בעל עסקים):</t>
        </is>
      </c>
      <c r="B29" t="inlineStr">
        <is>
          <t>₪500/שעה</t>
        </is>
      </c>
      <c r="C29" t="inlineStr">
        <is>
          <t>(משוער)</t>
        </is>
      </c>
    </row>
    <row r="30">
      <c r="A30" t="inlineStr">
        <is>
          <t>עלות ההזדמנות (opportunity cost):</t>
        </is>
      </c>
      <c r="B30" s="17">
        <f>B28*500</f>
        <v/>
      </c>
      <c r="C30" s="18" t="inlineStr">
        <is>
          <t>מה שרוני היה מפסיד בעסקים האחרים!</t>
        </is>
      </c>
    </row>
    <row r="32" ht="25" customHeight="1">
      <c r="A32" s="22" t="inlineStr">
        <is>
          <t>💡 הערה חשובה: זה לא עניין של יכולת - זה עניין של זמינות!</t>
        </is>
      </c>
    </row>
    <row r="33" ht="35" customHeight="1">
      <c r="A33" s="23" t="inlineStr">
        <is>
          <t>ד"ר רוני הוא רופא מצליח עם קליניקה משגשגת, לקוחות רבים, ועסקים מגוונים (קפסולות אוקסיגן, פיתוחים טכנולוגיים, וכו׳). הוא פשוט לא יכול להקדיש 100% מזמנו לפיתוח אפליקציות.</t>
        </is>
      </c>
    </row>
    <row r="34">
      <c r="A34" s="20" t="inlineStr">
        <is>
          <t>✅ חסך 60-70% לפחות</t>
        </is>
      </c>
    </row>
    <row r="35" ht="25" customHeight="1">
      <c r="A35" s="19" t="inlineStr">
        <is>
          <t>💰 מסקנה: העסקה של רוני</t>
        </is>
      </c>
    </row>
    <row r="36">
      <c r="A36" s="20" t="inlineStr">
        <is>
          <t>✅ רוני שילם ₪24,000 במקום ₪60,000-81,000</t>
        </is>
      </c>
    </row>
    <row r="37">
      <c r="A37" s="20" t="inlineStr">
        <is>
          <t>✅ חסך 60-70% לפחות</t>
        </is>
      </c>
    </row>
    <row r="38">
      <c r="A38" s="20" t="inlineStr">
        <is>
          <t>✅ קיבל 3 פרויקטים מלאים</t>
        </is>
      </c>
    </row>
    <row r="39">
      <c r="A39" s="20" t="inlineStr">
        <is>
          <t>✅ לא היה צריך לבזבז 1200 שעות יקרות מזמנו</t>
        </is>
      </c>
    </row>
    <row r="40">
      <c r="A40" s="20" t="inlineStr">
        <is>
          <t>✅ המשיך להתמקד בקליניקה ובעסקים המצליחים שלו</t>
        </is>
      </c>
    </row>
    <row r="41">
      <c r="A41" s="20" t="inlineStr">
        <is>
          <t>✅ חסך ₪600,000 בעלות הזדמנות</t>
        </is>
      </c>
    </row>
    <row r="42">
      <c r="A42" s="8" t="inlineStr">
        <is>
          <t>⚡ זו הייתה העסקה הכי חכמה שרוני יכול היה לעשות!</t>
        </is>
      </c>
    </row>
  </sheetData>
  <mergeCells count="21">
    <mergeCell ref="A39:H39"/>
    <mergeCell ref="A36:H36"/>
    <mergeCell ref="E25:H25"/>
    <mergeCell ref="A1:H1"/>
    <mergeCell ref="E22:H22"/>
    <mergeCell ref="E21:H21"/>
    <mergeCell ref="A41:H41"/>
    <mergeCell ref="A37:H37"/>
    <mergeCell ref="B3:H3"/>
    <mergeCell ref="A27:H27"/>
    <mergeCell ref="E24:H24"/>
    <mergeCell ref="E23:H23"/>
    <mergeCell ref="A42:H42"/>
    <mergeCell ref="A33:H33"/>
    <mergeCell ref="A14:H14"/>
    <mergeCell ref="A32:H32"/>
    <mergeCell ref="A40:H40"/>
    <mergeCell ref="A35:H35"/>
    <mergeCell ref="A20:H20"/>
    <mergeCell ref="A38:H38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2026-02-22T12:08:43Z</dcterms:created>
  <dcterms:modified xmlns:dcterms="http://purl.org/dc/terms/" xmlns:xsi="http://www.w3.org/2001/XMLSchema-instance" xsi:type="dcterms:W3CDTF">2026-02-22T12:41:29Z</dcterms:modified>
</cp:coreProperties>
</file>